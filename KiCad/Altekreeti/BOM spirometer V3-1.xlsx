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th\Downloads\Altekreeti\Altekreeti\"/>
    </mc:Choice>
  </mc:AlternateContent>
  <xr:revisionPtr revIDLastSave="0" documentId="13_ncr:1_{39C0642C-FDBA-4AC7-84A1-F5B2BBD16E0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mpedance_Potential_BOM_val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" i="1" l="1"/>
  <c r="A4" i="1" s="1"/>
  <c r="A6" i="1" s="1"/>
  <c r="A7" i="1" s="1"/>
  <c r="A8" i="1" s="1"/>
  <c r="A9" i="1" s="1"/>
  <c r="A10" i="1" s="1"/>
  <c r="A11" i="1" s="1"/>
  <c r="A12" i="1" s="1"/>
  <c r="A13" i="1" s="1"/>
</calcChain>
</file>

<file path=xl/sharedStrings.xml><?xml version="1.0" encoding="utf-8"?>
<sst xmlns="http://schemas.openxmlformats.org/spreadsheetml/2006/main" count="182" uniqueCount="138">
  <si>
    <t>Item #</t>
  </si>
  <si>
    <t>Designator</t>
  </si>
  <si>
    <t>Qty</t>
  </si>
  <si>
    <t>Manufacturer</t>
  </si>
  <si>
    <t>Mfg Part #</t>
  </si>
  <si>
    <t>LCSC Part#</t>
  </si>
  <si>
    <t>U.S. Distributor</t>
  </si>
  <si>
    <t>Description / Value</t>
  </si>
  <si>
    <t>Packaging</t>
  </si>
  <si>
    <t>Type</t>
  </si>
  <si>
    <t>Cost</t>
  </si>
  <si>
    <t>Samsung Electro-Mechanics</t>
  </si>
  <si>
    <t>SMD</t>
  </si>
  <si>
    <t>YAGEO</t>
  </si>
  <si>
    <t>R4</t>
  </si>
  <si>
    <t>onsemi</t>
  </si>
  <si>
    <t>D1</t>
  </si>
  <si>
    <t>XINGLIGHT</t>
  </si>
  <si>
    <t>Q2,Q3</t>
  </si>
  <si>
    <t>C1,C6</t>
  </si>
  <si>
    <t>L1</t>
  </si>
  <si>
    <t>C4</t>
  </si>
  <si>
    <t>D2</t>
  </si>
  <si>
    <t>R2</t>
  </si>
  <si>
    <t>C3</t>
  </si>
  <si>
    <t>R5</t>
  </si>
  <si>
    <t>Q1</t>
  </si>
  <si>
    <t>R11,R9,R1,R10</t>
  </si>
  <si>
    <t>R3</t>
  </si>
  <si>
    <t>U1</t>
  </si>
  <si>
    <t>R6</t>
  </si>
  <si>
    <t>C2</t>
  </si>
  <si>
    <t>C52895</t>
  </si>
  <si>
    <t>BSS138</t>
  </si>
  <si>
    <t>N-Channel 50V 0.22A 0.36W Surface Mount SOT-23</t>
  </si>
  <si>
    <t>SOT-23</t>
  </si>
  <si>
    <t>RC0805FR-071KL</t>
  </si>
  <si>
    <t>C95781</t>
  </si>
  <si>
    <t>cjiang</t>
  </si>
  <si>
    <t>FNR5040S6R8MT</t>
  </si>
  <si>
    <t>C167965</t>
  </si>
  <si>
    <t>6.8uH Magnetic Shielded Inductor 3.4A SMD,5x5mm Fixed Inductors RoHS</t>
  </si>
  <si>
    <t>5x5mm</t>
  </si>
  <si>
    <t>Green LED</t>
  </si>
  <si>
    <t>RED LED</t>
  </si>
  <si>
    <t>TI</t>
  </si>
  <si>
    <t>QFN-16-EP(4x4)</t>
  </si>
  <si>
    <t>MMUN2133LT1G</t>
  </si>
  <si>
    <t>C86182</t>
  </si>
  <si>
    <t>Pre-Biased Bipolar Transistor (BJT) 50V 100mA 246mW Surface Mount SOT-23</t>
  </si>
  <si>
    <t>RES 1kΩ ±1% 125mW 0805</t>
  </si>
  <si>
    <t>2.2uF ±10% 25V Ceramic Capacitor X5R 0805</t>
  </si>
  <si>
    <t>XL-2012UGC</t>
  </si>
  <si>
    <t>C965815</t>
  </si>
  <si>
    <t>XL-2012SURC</t>
  </si>
  <si>
    <t>C965812</t>
  </si>
  <si>
    <t>RC0805FR-07340KL</t>
  </si>
  <si>
    <t>C137543</t>
  </si>
  <si>
    <t xml:space="preserve">RES 340kΩ ±1% 125mW </t>
  </si>
  <si>
    <t>RC0805FR-0710KL</t>
  </si>
  <si>
    <t>C84376</t>
  </si>
  <si>
    <t>CL21A106KBYQNNE</t>
  </si>
  <si>
    <t>C2932476</t>
  </si>
  <si>
    <t>10uF ±10% 50V Ceramic Capacitor X5R 0805</t>
  </si>
  <si>
    <t xml:space="preserve">RES 10kΩ ±1% 125mW </t>
  </si>
  <si>
    <t>RT0805BRD07200KL</t>
  </si>
  <si>
    <t>C728645</t>
  </si>
  <si>
    <t>RES 200kΩ ±0.1% 125mW 0805</t>
  </si>
  <si>
    <t>100nF ±10% 25V Ceramic Capacitor X7R 0805</t>
  </si>
  <si>
    <t>CC0805KRX7R8BB104</t>
  </si>
  <si>
    <t>C519981</t>
  </si>
  <si>
    <t>Designation</t>
  </si>
  <si>
    <t>100uF</t>
  </si>
  <si>
    <t>1K</t>
  </si>
  <si>
    <t>6.8uH</t>
  </si>
  <si>
    <t>2.2uF</t>
  </si>
  <si>
    <t>GRN</t>
  </si>
  <si>
    <t>340K</t>
  </si>
  <si>
    <t>10uF</t>
  </si>
  <si>
    <t>1.80M</t>
  </si>
  <si>
    <t>10K</t>
  </si>
  <si>
    <t>1.87M</t>
  </si>
  <si>
    <t>TPS61090</t>
  </si>
  <si>
    <t>200K</t>
  </si>
  <si>
    <t>CC0805KKX5R8BB225</t>
  </si>
  <si>
    <t>C277526</t>
  </si>
  <si>
    <t>Footprint</t>
  </si>
  <si>
    <t>C_1210_3225Metric_Pad1.33x2.70mm</t>
  </si>
  <si>
    <t>R_0805_2012Metric_Pad1.20x1.40mm</t>
  </si>
  <si>
    <t>L_Changjiang_FNR5045S</t>
  </si>
  <si>
    <t xml:space="preserve">C_0805_2012Metric_Pad1.18x1.45mm </t>
  </si>
  <si>
    <t>LED_0805_2012Metric_GREEN_COLOR</t>
  </si>
  <si>
    <t xml:space="preserve">R_0805_2012Metric_Pad1.20x1.40mm </t>
  </si>
  <si>
    <t>SOT95P240X111-3N</t>
  </si>
  <si>
    <t>Texas_RSA_VQFN-16-1EP_4x4mm_P0.65mm_EP2.7x2.7mm_ThermalVias</t>
  </si>
  <si>
    <t>LED_0805_2012Metric_RED_COLOR</t>
  </si>
  <si>
    <t>WR08W1874FTL</t>
  </si>
  <si>
    <t>C367830</t>
  </si>
  <si>
    <t>Walsin</t>
  </si>
  <si>
    <t>RES 1.87MΩ ±1% 125mW 0805</t>
  </si>
  <si>
    <t>C170816</t>
  </si>
  <si>
    <t>WR08W1804FTL</t>
  </si>
  <si>
    <t>RES 1.8MΩ ±1% 125mW 0805</t>
  </si>
  <si>
    <t>100nF</t>
  </si>
  <si>
    <t>R7,R8,R12</t>
  </si>
  <si>
    <t>D3</t>
  </si>
  <si>
    <t>XL-2012UBC</t>
  </si>
  <si>
    <t>C965817</t>
  </si>
  <si>
    <t>Blue LED</t>
  </si>
  <si>
    <t>J3</t>
  </si>
  <si>
    <t>J2</t>
  </si>
  <si>
    <t>PinHeader_1x09_P2.54mm_Vertical</t>
  </si>
  <si>
    <t>PinHeader_1x06_P2.54mm_Vertical</t>
  </si>
  <si>
    <t>Conn_01x09_Pin</t>
  </si>
  <si>
    <t>~</t>
  </si>
  <si>
    <t>BLUE LED</t>
  </si>
  <si>
    <t>LED_0805_2012Metric</t>
  </si>
  <si>
    <t>CC1210MKX5R6BB107</t>
  </si>
  <si>
    <t>C723734</t>
  </si>
  <si>
    <t>100uF ±20% 10V Ceramic Capacitor X5R 1210</t>
  </si>
  <si>
    <t>Remark</t>
  </si>
  <si>
    <t>Do not Place</t>
  </si>
  <si>
    <t>100k</t>
  </si>
  <si>
    <t>RC0805FR-07100KL</t>
  </si>
  <si>
    <t>C96346</t>
  </si>
  <si>
    <t>RES 100kΩ ±1% 125mW 0805</t>
  </si>
  <si>
    <t>J1,J4</t>
  </si>
  <si>
    <t>JST_SMD_1.0mm_Vertical</t>
  </si>
  <si>
    <t>BM04B-SRSS-TBT(LF)(SN)</t>
  </si>
  <si>
    <t>C495539</t>
  </si>
  <si>
    <t>JST</t>
  </si>
  <si>
    <t>SMD,P=1mm</t>
  </si>
  <si>
    <t>Connector Header 4 position 1mm Pitch 1A Surface Mount,Vertical -25℃~+85℃</t>
  </si>
  <si>
    <t>JST_I2C</t>
  </si>
  <si>
    <t xml:space="preserve"> </t>
  </si>
  <si>
    <t>TPS61030RSAR</t>
  </si>
  <si>
    <t>C10110</t>
  </si>
  <si>
    <t>600kHz Boost Adjustable 1.8V~5.5V 1A QFN-16-EP(4x4) Voltage Regulators - DC DC Switching Regulators 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</si>
</sst>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0_);[Red]\(&quot;$&quot;#,##0.000\)"/>
    <numFmt numFmtId="165" formatCode="&quot;$&quot;#,##0.0000_);[Red]\(&quot;$&quot;#,##0.0000\)"/>
  </numFmts>
  <fonts count="5" x14ac:knownFonts="1">
    <font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u/>
      <sz val="11"/>
      <color rgb="FF0563C1"/>
      <name val="Calibri"/>
      <family val="2"/>
      <charset val="1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2B2B2"/>
      </patternFill>
    </fill>
    <fill>
      <patternFill patternType="solid">
        <fgColor rgb="FFFFFF00"/>
        <bgColor rgb="FFFFFF00"/>
      </patternFill>
    </fill>
    <fill>
      <patternFill patternType="solid">
        <fgColor rgb="FFB2B2B2"/>
        <bgColor rgb="FFBFBFBF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1" applyBorder="1" applyProtection="1"/>
    <xf numFmtId="0" fontId="3" fillId="0" borderId="0" xfId="1" applyBorder="1" applyAlignment="1" applyProtection="1">
      <alignment horizontal="left" vertical="top"/>
    </xf>
    <xf numFmtId="49" fontId="0" fillId="0" borderId="0" xfId="0" applyNumberFormat="1" applyAlignment="1">
      <alignment horizontal="left"/>
    </xf>
    <xf numFmtId="0" fontId="3" fillId="0" borderId="0" xfId="1"/>
    <xf numFmtId="8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0" fillId="5" borderId="0" xfId="0" applyFill="1"/>
    <xf numFmtId="0" fontId="4" fillId="0" borderId="0" xfId="1" applyFont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brand-detail/396.html" TargetMode="External"/><Relationship Id="rId18" Type="http://schemas.openxmlformats.org/officeDocument/2006/relationships/hyperlink" Target="https://www.lcsc.com/brand-detail/12469.html" TargetMode="External"/><Relationship Id="rId26" Type="http://schemas.openxmlformats.org/officeDocument/2006/relationships/hyperlink" Target="https://www.lcsc.com/product-detail/C84376.html?s_z=n_RC0805FR-0710KL" TargetMode="External"/><Relationship Id="rId39" Type="http://schemas.openxmlformats.org/officeDocument/2006/relationships/hyperlink" Target="https://www.lcsc.com/brand-detail/450.html" TargetMode="External"/><Relationship Id="rId21" Type="http://schemas.openxmlformats.org/officeDocument/2006/relationships/hyperlink" Target="https://www.lcsc.com/product-detail/C137543.html?s_z=n_YAGEO%2520RC0805FR-07340KL" TargetMode="External"/><Relationship Id="rId34" Type="http://schemas.openxmlformats.org/officeDocument/2006/relationships/hyperlink" Target="https://www.lcsc.com/product-detail/C167965.html?s_z=n_YAGEO%25206.8Uh" TargetMode="External"/><Relationship Id="rId42" Type="http://schemas.openxmlformats.org/officeDocument/2006/relationships/hyperlink" Target="https://www.lcsc.com/product-detail/C170816.html?s_z=n_%2520C170816" TargetMode="External"/><Relationship Id="rId47" Type="http://schemas.openxmlformats.org/officeDocument/2006/relationships/hyperlink" Target="https://www.lcsc.com/product-detail/C965817.html?s_z=n_C965817" TargetMode="External"/><Relationship Id="rId50" Type="http://schemas.openxmlformats.org/officeDocument/2006/relationships/hyperlink" Target="https://www.lcsc.com/product-detail/C96346.html?s_z=n_RC0805FR-07100KL" TargetMode="External"/><Relationship Id="rId55" Type="http://schemas.openxmlformats.org/officeDocument/2006/relationships/hyperlink" Target="https://www.lcsc.com/product-detail/C10110.html?s_z=n_TI%2520TPS61030" TargetMode="External"/><Relationship Id="rId7" Type="http://schemas.openxmlformats.org/officeDocument/2006/relationships/hyperlink" Target="https://www.lcsc.com/product-detail/C52895.html?s_z=n_BSS138" TargetMode="External"/><Relationship Id="rId2" Type="http://schemas.openxmlformats.org/officeDocument/2006/relationships/hyperlink" Target="https://www.lcsc.com/brand-detail/396.html" TargetMode="External"/><Relationship Id="rId16" Type="http://schemas.openxmlformats.org/officeDocument/2006/relationships/hyperlink" Target="https://www.lcsc.com/product-detail/C965815.html?s_z=n_LED_0805_2012Metric_GREEN_COLOR" TargetMode="External"/><Relationship Id="rId29" Type="http://schemas.openxmlformats.org/officeDocument/2006/relationships/hyperlink" Target="https://www.lcsc.com/product-detail/C728645.html?s_z=n_RT0805BRD07200KL" TargetMode="External"/><Relationship Id="rId11" Type="http://schemas.openxmlformats.org/officeDocument/2006/relationships/hyperlink" Target="https://www.lcsc.com/brand-detail/396.html" TargetMode="External"/><Relationship Id="rId24" Type="http://schemas.openxmlformats.org/officeDocument/2006/relationships/hyperlink" Target="https://www.lcsc.com/product-detail/C2932476.html?s_z=n_CAP%2520CER%252010uF%252050V%2520X7R%25200805" TargetMode="External"/><Relationship Id="rId32" Type="http://schemas.openxmlformats.org/officeDocument/2006/relationships/hyperlink" Target="https://www.lcsc.com/product-detail/C95781.html?s_z=n_RC0805FR-071KL" TargetMode="External"/><Relationship Id="rId37" Type="http://schemas.openxmlformats.org/officeDocument/2006/relationships/hyperlink" Target="https://www.lcsc.com/product-detail/C367830.html?s_z=n_%2520C367830" TargetMode="External"/><Relationship Id="rId40" Type="http://schemas.openxmlformats.org/officeDocument/2006/relationships/hyperlink" Target="https://www.lcsc.com/brand-detail/450.html" TargetMode="External"/><Relationship Id="rId45" Type="http://schemas.openxmlformats.org/officeDocument/2006/relationships/hyperlink" Target="https://www.lcsc.com/product-detail/C723734.html?s_z=n_CAP%2520CER%2520100uF%252025V%2520X5R%25201210" TargetMode="External"/><Relationship Id="rId53" Type="http://schemas.openxmlformats.org/officeDocument/2006/relationships/hyperlink" Target="https://www.lcsc.com/brand-detail/853.html" TargetMode="External"/><Relationship Id="rId5" Type="http://schemas.openxmlformats.org/officeDocument/2006/relationships/hyperlink" Target="https://www.lcsc.com/product-detail/C86182.html?s_z=n_MMUN2133LT1G" TargetMode="External"/><Relationship Id="rId10" Type="http://schemas.openxmlformats.org/officeDocument/2006/relationships/hyperlink" Target="https://www.lcsc.com/brand-detail/396.html" TargetMode="External"/><Relationship Id="rId19" Type="http://schemas.openxmlformats.org/officeDocument/2006/relationships/hyperlink" Target="https://www.lcsc.com/product-detail/C965812.html?s_z=n_LED%2520EMERALD%2520Red%2520WATER%2520CLEAR%25200805%2520SMD" TargetMode="External"/><Relationship Id="rId31" Type="http://schemas.openxmlformats.org/officeDocument/2006/relationships/hyperlink" Target="https://www.lcsc.com/product-detail/C519981.html?s_z=n_CC0805KRX5R8BB104" TargetMode="External"/><Relationship Id="rId44" Type="http://schemas.openxmlformats.org/officeDocument/2006/relationships/hyperlink" Target="https://www.lcsc.com/brand-detail/396.html" TargetMode="External"/><Relationship Id="rId52" Type="http://schemas.openxmlformats.org/officeDocument/2006/relationships/hyperlink" Target="https://www.lcsc.com/product-detail/C495539.html?s_z=n_BM04B-SRSS-TBT" TargetMode="External"/><Relationship Id="rId4" Type="http://schemas.openxmlformats.org/officeDocument/2006/relationships/hyperlink" Target="https://www.lcsc.com/product-detail/C137543.html?s_z=n_YAGEO%2520RC0805FR-07340KL" TargetMode="External"/><Relationship Id="rId9" Type="http://schemas.openxmlformats.org/officeDocument/2006/relationships/hyperlink" Target="https://www.lcsc.com/brand-detail/396.html" TargetMode="External"/><Relationship Id="rId14" Type="http://schemas.openxmlformats.org/officeDocument/2006/relationships/hyperlink" Target="https://www.lcsc.com/brand-detail/11425.html" TargetMode="External"/><Relationship Id="rId22" Type="http://schemas.openxmlformats.org/officeDocument/2006/relationships/hyperlink" Target="https://www.lcsc.com/brand-detail/254.html" TargetMode="External"/><Relationship Id="rId27" Type="http://schemas.openxmlformats.org/officeDocument/2006/relationships/hyperlink" Target="https://www.lcsc.com/product-detail/C84376.html?s_z=n_RC0805FR-0710KL" TargetMode="External"/><Relationship Id="rId30" Type="http://schemas.openxmlformats.org/officeDocument/2006/relationships/hyperlink" Target="https://www.lcsc.com/product-detail/C519981.html?s_z=n_CC0805KRX5R8BB104" TargetMode="External"/><Relationship Id="rId35" Type="http://schemas.openxmlformats.org/officeDocument/2006/relationships/hyperlink" Target="https://www.lcsc.com/product-detail/C277526.html?s_z=n_CAP%2520CER%25202.2uF%252025V%2520X5R%25200805" TargetMode="External"/><Relationship Id="rId43" Type="http://schemas.openxmlformats.org/officeDocument/2006/relationships/hyperlink" Target="https://www.lcsc.com/brand-detail/12469.html" TargetMode="External"/><Relationship Id="rId48" Type="http://schemas.openxmlformats.org/officeDocument/2006/relationships/hyperlink" Target="https://www.lcsc.com/product-detail/C965817.html?s_z=n_C965817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https://www.lcsc.com/product-detail/C52895.html?s_z=n_BSS138" TargetMode="External"/><Relationship Id="rId51" Type="http://schemas.openxmlformats.org/officeDocument/2006/relationships/hyperlink" Target="https://www.lcsc.com/product-detail/C495539.html?s_z=n_BM04B-SRSS-TBT" TargetMode="External"/><Relationship Id="rId3" Type="http://schemas.openxmlformats.org/officeDocument/2006/relationships/hyperlink" Target="https://www.lcsc.com/product-detail/C167965.html?s_z=n_YAGEO%25206.8Uh" TargetMode="External"/><Relationship Id="rId12" Type="http://schemas.openxmlformats.org/officeDocument/2006/relationships/hyperlink" Target="https://www.lcsc.com/brand-detail/396.html" TargetMode="External"/><Relationship Id="rId17" Type="http://schemas.openxmlformats.org/officeDocument/2006/relationships/hyperlink" Target="https://www.lcsc.com/product-detail/C965815.html?s_z=n_LED_0805_2012Metric_GREEN_COLOR" TargetMode="External"/><Relationship Id="rId25" Type="http://schemas.openxmlformats.org/officeDocument/2006/relationships/hyperlink" Target="https://www.lcsc.com/brand-detail/94.html" TargetMode="External"/><Relationship Id="rId33" Type="http://schemas.openxmlformats.org/officeDocument/2006/relationships/hyperlink" Target="https://www.lcsc.com/product-detail/C95781.html?s_z=n_RC0805FR-071KL" TargetMode="External"/><Relationship Id="rId38" Type="http://schemas.openxmlformats.org/officeDocument/2006/relationships/hyperlink" Target="https://www.lcsc.com/product-detail/C367830.html?s_z=n_%2520C367830" TargetMode="External"/><Relationship Id="rId46" Type="http://schemas.openxmlformats.org/officeDocument/2006/relationships/hyperlink" Target="https://www.lcsc.com/product-detail/C723734.html?s_z=n_CAP%2520CER%2520100uF%252025V%2520X5R%25201210" TargetMode="External"/><Relationship Id="rId20" Type="http://schemas.openxmlformats.org/officeDocument/2006/relationships/hyperlink" Target="https://www.lcsc.com/product-detail/C965812.html?s_z=n_LED%2520EMERALD%2520Red%2520WATER%2520CLEAR%25200805%2520SMD" TargetMode="External"/><Relationship Id="rId41" Type="http://schemas.openxmlformats.org/officeDocument/2006/relationships/hyperlink" Target="https://www.lcsc.com/product-detail/C170816.html?s_z=n_%2520C170816" TargetMode="External"/><Relationship Id="rId54" Type="http://schemas.openxmlformats.org/officeDocument/2006/relationships/hyperlink" Target="https://www.lcsc.com/product-detail/C10110.html?s_z=n_TI%2520TPS61030" TargetMode="External"/><Relationship Id="rId1" Type="http://schemas.openxmlformats.org/officeDocument/2006/relationships/hyperlink" Target="https://www.lcsc.com/brand-detail/94.html" TargetMode="External"/><Relationship Id="rId6" Type="http://schemas.openxmlformats.org/officeDocument/2006/relationships/hyperlink" Target="https://www.lcsc.com/product-detail/C86182.html?s_z=n_MMUN2133LT1G" TargetMode="External"/><Relationship Id="rId15" Type="http://schemas.openxmlformats.org/officeDocument/2006/relationships/hyperlink" Target="https://www.lcsc.com/brand-detail/12469.html" TargetMode="External"/><Relationship Id="rId23" Type="http://schemas.openxmlformats.org/officeDocument/2006/relationships/hyperlink" Target="https://www.lcsc.com/product-detail/C2932476.html?s_z=n_CAP%2520CER%252010uF%252050V%2520X7R%25200805" TargetMode="External"/><Relationship Id="rId28" Type="http://schemas.openxmlformats.org/officeDocument/2006/relationships/hyperlink" Target="https://www.lcsc.com/product-detail/C728645.html?s_z=n_RT0805BRD07200KL" TargetMode="External"/><Relationship Id="rId36" Type="http://schemas.openxmlformats.org/officeDocument/2006/relationships/hyperlink" Target="https://www.lcsc.com/product-detail/C277526.html?s_z=n_CAP%2520CER%25202.2uF%252025V%2520X5R%25200805" TargetMode="External"/><Relationship Id="rId49" Type="http://schemas.openxmlformats.org/officeDocument/2006/relationships/hyperlink" Target="https://www.lcsc.com/product-detail/C96346.html?s_z=n_RC0805FR-07100K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zoomScaleNormal="100" workbookViewId="0">
      <selection activeCell="F26" sqref="F26"/>
    </sheetView>
  </sheetViews>
  <sheetFormatPr defaultColWidth="8.5703125" defaultRowHeight="15" x14ac:dyDescent="0.25"/>
  <cols>
    <col min="2" max="2" width="26.5703125" customWidth="1"/>
    <col min="3" max="3" width="3.5703125" customWidth="1"/>
    <col min="4" max="4" width="24.5703125" customWidth="1"/>
    <col min="5" max="5" width="18.42578125" customWidth="1"/>
    <col min="6" max="6" width="16.28515625" customWidth="1"/>
    <col min="7" max="7" width="28.140625" customWidth="1"/>
    <col min="8" max="8" width="29.140625" style="1" customWidth="1"/>
    <col min="9" max="9" width="11.85546875" style="1" customWidth="1"/>
    <col min="10" max="10" width="5.28515625" style="1" customWidth="1"/>
    <col min="11" max="11" width="11.28515625" customWidth="1"/>
    <col min="12" max="12" width="19.140625" customWidth="1"/>
    <col min="13" max="13" width="64.28515625" customWidth="1"/>
    <col min="14" max="14" width="14.140625" customWidth="1"/>
    <col min="1024" max="1024" width="9.140625" customWidth="1"/>
  </cols>
  <sheetData>
    <row r="1" spans="1:14" x14ac:dyDescent="0.25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5" t="s">
        <v>8</v>
      </c>
      <c r="J1" s="2" t="s">
        <v>9</v>
      </c>
      <c r="K1" t="s">
        <v>10</v>
      </c>
      <c r="L1" t="s">
        <v>71</v>
      </c>
      <c r="M1" t="s">
        <v>86</v>
      </c>
      <c r="N1" t="s">
        <v>120</v>
      </c>
    </row>
    <row r="2" spans="1:14" x14ac:dyDescent="0.25">
      <c r="A2">
        <v>1</v>
      </c>
      <c r="B2" t="s">
        <v>18</v>
      </c>
      <c r="C2">
        <v>2</v>
      </c>
      <c r="D2" s="6" t="s">
        <v>15</v>
      </c>
      <c r="E2" s="6" t="s">
        <v>33</v>
      </c>
      <c r="F2" s="6" t="s">
        <v>32</v>
      </c>
      <c r="G2" s="6"/>
      <c r="H2" s="1" t="s">
        <v>34</v>
      </c>
      <c r="I2" s="1" t="s">
        <v>35</v>
      </c>
      <c r="J2" s="1" t="s">
        <v>12</v>
      </c>
      <c r="K2" s="10">
        <v>6.1199999999999997E-2</v>
      </c>
      <c r="L2" t="s">
        <v>33</v>
      </c>
      <c r="M2" t="s">
        <v>35</v>
      </c>
    </row>
    <row r="3" spans="1:14" x14ac:dyDescent="0.25">
      <c r="A3">
        <f t="shared" ref="A3:A4" si="0">A2+1</f>
        <v>2</v>
      </c>
      <c r="B3" t="s">
        <v>19</v>
      </c>
      <c r="C3">
        <v>2</v>
      </c>
      <c r="D3" s="6" t="s">
        <v>13</v>
      </c>
      <c r="E3" s="6" t="s">
        <v>117</v>
      </c>
      <c r="F3" s="6" t="s">
        <v>118</v>
      </c>
      <c r="G3" s="6"/>
      <c r="H3" s="1" t="s">
        <v>119</v>
      </c>
      <c r="I3" s="1">
        <v>1210</v>
      </c>
      <c r="J3" s="1" t="s">
        <v>12</v>
      </c>
      <c r="K3" s="10">
        <v>0.67759999999999998</v>
      </c>
      <c r="L3" t="s">
        <v>72</v>
      </c>
      <c r="M3" t="s">
        <v>87</v>
      </c>
    </row>
    <row r="4" spans="1:14" x14ac:dyDescent="0.25">
      <c r="A4">
        <f t="shared" si="0"/>
        <v>3</v>
      </c>
      <c r="B4" t="s">
        <v>104</v>
      </c>
      <c r="C4">
        <v>2</v>
      </c>
      <c r="D4" s="6" t="s">
        <v>13</v>
      </c>
      <c r="E4" s="6" t="s">
        <v>36</v>
      </c>
      <c r="F4" s="6" t="s">
        <v>37</v>
      </c>
      <c r="G4" s="6"/>
      <c r="H4" s="1" t="s">
        <v>50</v>
      </c>
      <c r="I4" s="1">
        <v>805</v>
      </c>
      <c r="J4" s="1" t="s">
        <v>12</v>
      </c>
      <c r="K4" s="11">
        <v>2E-3</v>
      </c>
      <c r="L4" t="s">
        <v>73</v>
      </c>
      <c r="M4" t="s">
        <v>88</v>
      </c>
    </row>
    <row r="5" spans="1:14" x14ac:dyDescent="0.25">
      <c r="A5">
        <v>4</v>
      </c>
      <c r="B5" t="s">
        <v>20</v>
      </c>
      <c r="C5">
        <v>1</v>
      </c>
      <c r="D5" s="6" t="s">
        <v>38</v>
      </c>
      <c r="E5" s="6" t="s">
        <v>39</v>
      </c>
      <c r="F5" s="6" t="s">
        <v>40</v>
      </c>
      <c r="G5" s="6"/>
      <c r="H5" s="1" t="s">
        <v>41</v>
      </c>
      <c r="I5" s="1" t="s">
        <v>42</v>
      </c>
      <c r="J5" s="1" t="s">
        <v>12</v>
      </c>
      <c r="K5" s="11">
        <v>9.3299999999999994E-2</v>
      </c>
      <c r="L5" t="s">
        <v>74</v>
      </c>
      <c r="M5" t="s">
        <v>89</v>
      </c>
    </row>
    <row r="6" spans="1:14" x14ac:dyDescent="0.25">
      <c r="A6">
        <f t="shared" ref="A6:A13" si="1">A5+1</f>
        <v>5</v>
      </c>
      <c r="B6" t="s">
        <v>21</v>
      </c>
      <c r="C6">
        <v>1</v>
      </c>
      <c r="D6" s="6" t="s">
        <v>13</v>
      </c>
      <c r="E6" s="6" t="s">
        <v>84</v>
      </c>
      <c r="F6" s="6" t="s">
        <v>85</v>
      </c>
      <c r="G6" s="6"/>
      <c r="H6" s="1" t="s">
        <v>51</v>
      </c>
      <c r="I6" s="1">
        <v>805</v>
      </c>
      <c r="J6" s="1" t="s">
        <v>12</v>
      </c>
      <c r="K6" s="12">
        <v>1.84E-2</v>
      </c>
      <c r="L6" t="s">
        <v>75</v>
      </c>
      <c r="M6" t="s">
        <v>90</v>
      </c>
    </row>
    <row r="7" spans="1:14" x14ac:dyDescent="0.25">
      <c r="A7">
        <f t="shared" si="1"/>
        <v>6</v>
      </c>
      <c r="B7" t="s">
        <v>22</v>
      </c>
      <c r="C7">
        <v>1</v>
      </c>
      <c r="D7" s="6" t="s">
        <v>17</v>
      </c>
      <c r="E7" s="6" t="s">
        <v>52</v>
      </c>
      <c r="F7" s="6" t="s">
        <v>53</v>
      </c>
      <c r="G7" s="6"/>
      <c r="H7" s="1" t="s">
        <v>43</v>
      </c>
      <c r="I7" s="1">
        <v>805</v>
      </c>
      <c r="J7" s="1" t="s">
        <v>12</v>
      </c>
      <c r="K7" s="12">
        <v>5.7000000000000002E-3</v>
      </c>
      <c r="L7" t="s">
        <v>76</v>
      </c>
      <c r="M7" t="s">
        <v>91</v>
      </c>
    </row>
    <row r="8" spans="1:14" x14ac:dyDescent="0.25">
      <c r="A8">
        <f t="shared" si="1"/>
        <v>7</v>
      </c>
      <c r="B8" t="s">
        <v>14</v>
      </c>
      <c r="C8">
        <v>1</v>
      </c>
      <c r="D8" s="6" t="s">
        <v>13</v>
      </c>
      <c r="E8" s="6" t="s">
        <v>56</v>
      </c>
      <c r="F8" s="6" t="s">
        <v>57</v>
      </c>
      <c r="G8" s="6"/>
      <c r="H8" s="1" t="s">
        <v>58</v>
      </c>
      <c r="I8" s="1">
        <v>805</v>
      </c>
      <c r="J8" s="1" t="s">
        <v>12</v>
      </c>
      <c r="K8" s="12">
        <v>2.0999999999999999E-3</v>
      </c>
      <c r="L8" t="s">
        <v>77</v>
      </c>
      <c r="M8" t="s">
        <v>92</v>
      </c>
    </row>
    <row r="9" spans="1:14" x14ac:dyDescent="0.25">
      <c r="A9">
        <f t="shared" si="1"/>
        <v>8</v>
      </c>
      <c r="B9" t="s">
        <v>23</v>
      </c>
      <c r="C9">
        <v>1</v>
      </c>
      <c r="D9" s="6" t="s">
        <v>13</v>
      </c>
      <c r="E9" s="6" t="s">
        <v>123</v>
      </c>
      <c r="F9" s="6" t="s">
        <v>124</v>
      </c>
      <c r="G9" s="6"/>
      <c r="H9" s="1" t="s">
        <v>125</v>
      </c>
      <c r="I9" s="1">
        <v>805</v>
      </c>
      <c r="J9" s="1" t="s">
        <v>12</v>
      </c>
      <c r="K9" s="12">
        <v>2.5000000000000001E-3</v>
      </c>
      <c r="L9" t="s">
        <v>122</v>
      </c>
      <c r="M9" t="s">
        <v>92</v>
      </c>
    </row>
    <row r="10" spans="1:14" x14ac:dyDescent="0.25">
      <c r="A10">
        <f t="shared" si="1"/>
        <v>9</v>
      </c>
      <c r="B10" t="s">
        <v>24</v>
      </c>
      <c r="C10">
        <v>1</v>
      </c>
      <c r="D10" s="6" t="s">
        <v>11</v>
      </c>
      <c r="E10" s="6" t="s">
        <v>61</v>
      </c>
      <c r="F10" s="6" t="s">
        <v>62</v>
      </c>
      <c r="G10" s="6"/>
      <c r="H10" s="1" t="s">
        <v>63</v>
      </c>
      <c r="I10" s="1">
        <v>805</v>
      </c>
      <c r="J10" s="1" t="s">
        <v>12</v>
      </c>
      <c r="K10" s="12">
        <v>4.1399999999999999E-2</v>
      </c>
      <c r="L10" t="s">
        <v>78</v>
      </c>
      <c r="M10" t="s">
        <v>90</v>
      </c>
    </row>
    <row r="11" spans="1:14" x14ac:dyDescent="0.25">
      <c r="A11">
        <f t="shared" si="1"/>
        <v>10</v>
      </c>
      <c r="B11" t="s">
        <v>25</v>
      </c>
      <c r="C11">
        <v>1</v>
      </c>
      <c r="D11" s="6" t="s">
        <v>98</v>
      </c>
      <c r="E11" s="6" t="s">
        <v>101</v>
      </c>
      <c r="F11" s="6" t="s">
        <v>100</v>
      </c>
      <c r="G11" s="6"/>
      <c r="H11" s="1" t="s">
        <v>102</v>
      </c>
      <c r="I11" s="1">
        <v>805</v>
      </c>
      <c r="J11" s="1" t="s">
        <v>12</v>
      </c>
      <c r="K11" s="12">
        <v>5.4000000000000003E-3</v>
      </c>
      <c r="L11" t="s">
        <v>79</v>
      </c>
      <c r="M11" t="s">
        <v>92</v>
      </c>
    </row>
    <row r="12" spans="1:14" x14ac:dyDescent="0.25">
      <c r="A12">
        <f t="shared" si="1"/>
        <v>11</v>
      </c>
      <c r="B12" t="s">
        <v>26</v>
      </c>
      <c r="C12">
        <v>1</v>
      </c>
      <c r="D12" s="6" t="s">
        <v>15</v>
      </c>
      <c r="E12" s="6" t="s">
        <v>47</v>
      </c>
      <c r="F12" s="6" t="s">
        <v>48</v>
      </c>
      <c r="G12" s="6"/>
      <c r="H12" s="1" t="s">
        <v>49</v>
      </c>
      <c r="I12" s="1" t="s">
        <v>35</v>
      </c>
      <c r="J12" s="1" t="s">
        <v>12</v>
      </c>
      <c r="K12" s="12">
        <v>3.0599999999999999E-2</v>
      </c>
      <c r="L12" t="s">
        <v>47</v>
      </c>
      <c r="M12" t="s">
        <v>93</v>
      </c>
    </row>
    <row r="13" spans="1:14" x14ac:dyDescent="0.25">
      <c r="A13">
        <f t="shared" si="1"/>
        <v>12</v>
      </c>
      <c r="B13" t="s">
        <v>27</v>
      </c>
      <c r="C13">
        <v>4</v>
      </c>
      <c r="D13" s="6" t="s">
        <v>13</v>
      </c>
      <c r="E13" s="6" t="s">
        <v>59</v>
      </c>
      <c r="F13" s="6" t="s">
        <v>60</v>
      </c>
      <c r="G13" s="6"/>
      <c r="H13" s="1" t="s">
        <v>64</v>
      </c>
      <c r="I13" s="1">
        <v>805</v>
      </c>
      <c r="J13" s="1" t="s">
        <v>12</v>
      </c>
      <c r="K13" s="12">
        <v>1.9E-3</v>
      </c>
      <c r="L13" t="s">
        <v>80</v>
      </c>
      <c r="M13" t="s">
        <v>92</v>
      </c>
    </row>
    <row r="14" spans="1:14" x14ac:dyDescent="0.25">
      <c r="A14">
        <v>13</v>
      </c>
      <c r="B14" t="s">
        <v>28</v>
      </c>
      <c r="C14">
        <v>1</v>
      </c>
      <c r="D14" s="6" t="s">
        <v>98</v>
      </c>
      <c r="E14" s="6" t="s">
        <v>96</v>
      </c>
      <c r="F14" s="6" t="s">
        <v>97</v>
      </c>
      <c r="G14" s="6"/>
      <c r="H14" s="1" t="s">
        <v>99</v>
      </c>
      <c r="I14" s="1">
        <v>805</v>
      </c>
      <c r="J14" s="1" t="s">
        <v>12</v>
      </c>
      <c r="K14" s="12">
        <v>5.3E-3</v>
      </c>
      <c r="L14" t="s">
        <v>81</v>
      </c>
      <c r="M14" t="s">
        <v>92</v>
      </c>
    </row>
    <row r="15" spans="1:14" x14ac:dyDescent="0.25">
      <c r="A15">
        <v>14</v>
      </c>
      <c r="B15" t="s">
        <v>29</v>
      </c>
      <c r="C15">
        <v>1</v>
      </c>
      <c r="D15" s="6" t="s">
        <v>45</v>
      </c>
      <c r="E15" s="9" t="s">
        <v>135</v>
      </c>
      <c r="F15" s="9" t="s">
        <v>136</v>
      </c>
      <c r="G15" s="9"/>
      <c r="H15" s="1" t="s">
        <v>137</v>
      </c>
      <c r="I15" s="1" t="s">
        <v>46</v>
      </c>
      <c r="J15" s="1" t="s">
        <v>12</v>
      </c>
      <c r="K15" s="12">
        <v>1.6899</v>
      </c>
      <c r="L15" t="s">
        <v>82</v>
      </c>
      <c r="M15" t="s">
        <v>94</v>
      </c>
    </row>
    <row r="16" spans="1:14" x14ac:dyDescent="0.25">
      <c r="A16">
        <v>15</v>
      </c>
      <c r="B16" t="s">
        <v>16</v>
      </c>
      <c r="C16">
        <v>1</v>
      </c>
      <c r="D16" s="6" t="s">
        <v>17</v>
      </c>
      <c r="E16" s="6" t="s">
        <v>54</v>
      </c>
      <c r="F16" s="6" t="s">
        <v>55</v>
      </c>
      <c r="G16" s="6"/>
      <c r="H16" s="1" t="s">
        <v>44</v>
      </c>
      <c r="I16" s="1">
        <v>805</v>
      </c>
      <c r="J16" s="1" t="s">
        <v>12</v>
      </c>
      <c r="K16" s="12">
        <v>5.8999999999999999E-3</v>
      </c>
      <c r="L16" t="s">
        <v>44</v>
      </c>
      <c r="M16" t="s">
        <v>95</v>
      </c>
    </row>
    <row r="17" spans="1:14" x14ac:dyDescent="0.25">
      <c r="A17">
        <v>16</v>
      </c>
      <c r="B17" t="s">
        <v>30</v>
      </c>
      <c r="C17">
        <v>1</v>
      </c>
      <c r="D17" s="6" t="s">
        <v>13</v>
      </c>
      <c r="E17" s="6" t="s">
        <v>65</v>
      </c>
      <c r="F17" s="6" t="s">
        <v>66</v>
      </c>
      <c r="G17" s="6"/>
      <c r="H17" s="1" t="s">
        <v>67</v>
      </c>
      <c r="I17" s="1">
        <v>805</v>
      </c>
      <c r="J17" s="1" t="s">
        <v>12</v>
      </c>
      <c r="K17" s="12">
        <v>3.3599999999999998E-2</v>
      </c>
      <c r="L17" t="s">
        <v>83</v>
      </c>
      <c r="M17" t="s">
        <v>92</v>
      </c>
    </row>
    <row r="18" spans="1:14" x14ac:dyDescent="0.25">
      <c r="A18">
        <v>17</v>
      </c>
      <c r="B18" t="s">
        <v>31</v>
      </c>
      <c r="C18">
        <v>1</v>
      </c>
      <c r="D18" s="6" t="s">
        <v>13</v>
      </c>
      <c r="E18" s="9" t="s">
        <v>69</v>
      </c>
      <c r="F18" s="9" t="s">
        <v>70</v>
      </c>
      <c r="H18" s="1" t="s">
        <v>68</v>
      </c>
      <c r="I18" s="1">
        <v>805</v>
      </c>
      <c r="J18" s="1" t="s">
        <v>12</v>
      </c>
      <c r="K18" s="12">
        <v>5.8999999999999999E-3</v>
      </c>
      <c r="L18" t="s">
        <v>103</v>
      </c>
      <c r="M18" t="s">
        <v>90</v>
      </c>
    </row>
    <row r="19" spans="1:14" x14ac:dyDescent="0.25">
      <c r="A19">
        <v>18</v>
      </c>
      <c r="B19" t="s">
        <v>105</v>
      </c>
      <c r="C19">
        <v>1</v>
      </c>
      <c r="D19" s="6" t="s">
        <v>17</v>
      </c>
      <c r="E19" s="6" t="s">
        <v>106</v>
      </c>
      <c r="F19" s="6" t="s">
        <v>107</v>
      </c>
      <c r="G19" s="6"/>
      <c r="H19" s="1" t="s">
        <v>108</v>
      </c>
      <c r="I19" s="1">
        <v>805</v>
      </c>
      <c r="J19" s="1" t="s">
        <v>12</v>
      </c>
      <c r="K19" s="12">
        <v>6.4000000000000003E-3</v>
      </c>
      <c r="L19" t="s">
        <v>115</v>
      </c>
      <c r="M19" t="s">
        <v>116</v>
      </c>
    </row>
    <row r="20" spans="1:14" x14ac:dyDescent="0.25">
      <c r="A20">
        <v>19</v>
      </c>
      <c r="B20" t="s">
        <v>126</v>
      </c>
      <c r="C20">
        <v>2</v>
      </c>
      <c r="D20" s="9" t="s">
        <v>130</v>
      </c>
      <c r="E20" s="9" t="s">
        <v>128</v>
      </c>
      <c r="F20" s="9" t="s">
        <v>129</v>
      </c>
      <c r="H20" s="1" t="s">
        <v>132</v>
      </c>
      <c r="I20" s="1" t="s">
        <v>131</v>
      </c>
      <c r="J20" s="1" t="s">
        <v>12</v>
      </c>
      <c r="K20" s="12">
        <v>0.31240000000000001</v>
      </c>
      <c r="L20" s="1" t="s">
        <v>133</v>
      </c>
      <c r="M20" t="s">
        <v>127</v>
      </c>
    </row>
    <row r="21" spans="1:14" ht="15.75" customHeight="1" x14ac:dyDescent="0.25">
      <c r="A21">
        <v>20</v>
      </c>
      <c r="B21" t="s">
        <v>109</v>
      </c>
      <c r="C21">
        <v>1</v>
      </c>
      <c r="D21" s="6"/>
      <c r="E21" s="6"/>
      <c r="F21" s="6"/>
      <c r="G21" s="7"/>
      <c r="H21" s="14" t="s">
        <v>121</v>
      </c>
      <c r="J21" s="8"/>
      <c r="K21" s="12"/>
      <c r="L21" t="s">
        <v>113</v>
      </c>
      <c r="M21" t="s">
        <v>111</v>
      </c>
      <c r="N21" s="13" t="s">
        <v>121</v>
      </c>
    </row>
    <row r="22" spans="1:14" ht="16.350000000000001" customHeight="1" x14ac:dyDescent="0.25">
      <c r="A22">
        <v>21</v>
      </c>
      <c r="B22" t="s">
        <v>110</v>
      </c>
      <c r="C22">
        <v>1</v>
      </c>
      <c r="H22" s="1" t="s">
        <v>121</v>
      </c>
      <c r="L22" t="s">
        <v>114</v>
      </c>
      <c r="M22" t="s">
        <v>112</v>
      </c>
      <c r="N22" s="13" t="s">
        <v>121</v>
      </c>
    </row>
    <row r="24" spans="1:14" x14ac:dyDescent="0.25">
      <c r="D24" t="s">
        <v>134</v>
      </c>
    </row>
    <row r="25" spans="1:14" x14ac:dyDescent="0.25">
      <c r="K25" s="12"/>
    </row>
    <row r="26" spans="1:14" x14ac:dyDescent="0.25">
      <c r="K26" s="12"/>
    </row>
    <row r="27" spans="1:14" x14ac:dyDescent="0.25">
      <c r="D27" s="6"/>
      <c r="E27" s="6"/>
      <c r="F27" s="6"/>
      <c r="G27" s="6"/>
      <c r="K27" s="12"/>
    </row>
    <row r="28" spans="1:14" x14ac:dyDescent="0.25">
      <c r="D28" s="6"/>
      <c r="E28" s="6"/>
      <c r="F28" s="6"/>
      <c r="G28" s="6"/>
      <c r="K28" s="12"/>
    </row>
    <row r="29" spans="1:14" x14ac:dyDescent="0.25">
      <c r="D29" s="6"/>
      <c r="E29" s="6"/>
      <c r="F29" s="6"/>
      <c r="G29" s="6"/>
      <c r="K29" s="12"/>
    </row>
    <row r="30" spans="1:14" x14ac:dyDescent="0.25">
      <c r="E30" s="6"/>
      <c r="K30" s="12"/>
    </row>
  </sheetData>
  <hyperlinks>
    <hyperlink ref="D2" r:id="rId1" xr:uid="{D6B24151-F96B-4906-85A7-2F6467F8E125}"/>
    <hyperlink ref="D4" r:id="rId2" xr:uid="{CE250995-64D5-4AA6-8856-978BD6F55060}"/>
    <hyperlink ref="E5" r:id="rId3" xr:uid="{665261D9-D71A-4456-B575-2AB103327E8E}"/>
    <hyperlink ref="E8" r:id="rId4" xr:uid="{D31EBAAD-4C46-4144-9EB3-4DD478A4EEDD}"/>
    <hyperlink ref="E12" r:id="rId5" xr:uid="{61C837AD-0B13-4E73-92D3-746D80AB368E}"/>
    <hyperlink ref="F12" r:id="rId6" xr:uid="{020A7F7A-55A9-4E4A-AEAC-52E347CF0724}"/>
    <hyperlink ref="E2" r:id="rId7" xr:uid="{3FBD9A54-03A4-4FDF-B388-81A0442324B7}"/>
    <hyperlink ref="F2" r:id="rId8" xr:uid="{D3527114-1CA7-466E-AB66-A9B8B1E2B80F}"/>
    <hyperlink ref="D6" r:id="rId9" xr:uid="{096C3673-E573-4022-A29A-FDDE1FEB9A34}"/>
    <hyperlink ref="D9" r:id="rId10" xr:uid="{E7237B06-0466-4C5D-AEB0-655F5F7608B1}"/>
    <hyperlink ref="D13" r:id="rId11" xr:uid="{32802E2D-3F1B-4917-BBDB-F95920D350C3}"/>
    <hyperlink ref="D17" r:id="rId12" xr:uid="{32DA7834-2FA1-4162-891A-811DF0FB7004}"/>
    <hyperlink ref="D18" r:id="rId13" xr:uid="{B152070A-E0B8-4353-8764-D3BB0E31D807}"/>
    <hyperlink ref="D5" r:id="rId14" xr:uid="{0628B077-8ACF-4215-925C-9FD9CF5F3B28}"/>
    <hyperlink ref="D7" r:id="rId15" xr:uid="{BBFFF501-8709-4401-A239-03FE5305474D}"/>
    <hyperlink ref="E7" r:id="rId16" xr:uid="{215785C1-15EB-4A12-9279-43855A00D703}"/>
    <hyperlink ref="F7" r:id="rId17" xr:uid="{9CA8B0E8-4F75-433A-B5FB-22FD84376314}"/>
    <hyperlink ref="D16" r:id="rId18" xr:uid="{1152AD09-C30D-48D8-9B44-6F0896DF0FAB}"/>
    <hyperlink ref="E16" r:id="rId19" xr:uid="{1EE56DDC-7480-43BE-8A32-357F6786547D}"/>
    <hyperlink ref="F16" r:id="rId20" xr:uid="{3916AA6C-F7F0-49D8-A73F-EDF5303CD45E}"/>
    <hyperlink ref="F8" r:id="rId21" xr:uid="{0B73721C-8DFB-4DFF-9014-375FF5A2B938}"/>
    <hyperlink ref="D10" r:id="rId22" xr:uid="{CE3BD6D4-C067-4069-915E-9FF2E13D7D84}"/>
    <hyperlink ref="E10" r:id="rId23" xr:uid="{7F3EDA8C-C817-4660-955B-26FBE65F2EEB}"/>
    <hyperlink ref="F10" r:id="rId24" xr:uid="{DB1469EF-806F-4E54-A990-B7E8DBF23FBD}"/>
    <hyperlink ref="D12" r:id="rId25" xr:uid="{F41B7501-24FE-4F04-9983-8E9A46A49F89}"/>
    <hyperlink ref="E13" r:id="rId26" xr:uid="{606C8C8C-E8BA-4224-9A4F-32169A661438}"/>
    <hyperlink ref="F13" r:id="rId27" xr:uid="{762CA2F0-B734-4BD4-BBAF-4E2BF22EFBAF}"/>
    <hyperlink ref="E17" r:id="rId28" xr:uid="{596C9092-397F-441F-AAC1-DEFFBA16EFB8}"/>
    <hyperlink ref="F17" r:id="rId29" xr:uid="{0DE119EE-CA8D-43BD-BEBB-EEB41A37446E}"/>
    <hyperlink ref="E18" r:id="rId30" xr:uid="{60CC0040-79EF-430A-A011-DA1C92A23B89}"/>
    <hyperlink ref="F18" r:id="rId31" xr:uid="{ABF4B20D-C0FD-4B1A-A3C6-BDE89796383D}"/>
    <hyperlink ref="E4" r:id="rId32" xr:uid="{45F92C8D-135C-404A-AE79-1FE9E4A340E8}"/>
    <hyperlink ref="F4" r:id="rId33" xr:uid="{A48556F1-302D-48FC-93D7-93D5ABF8CE19}"/>
    <hyperlink ref="F5" r:id="rId34" xr:uid="{FFF7B86D-4ACA-4FE1-9604-70D552E1680F}"/>
    <hyperlink ref="E6" r:id="rId35" xr:uid="{B52FB198-C02F-49AA-9A98-6EA48D42491D}"/>
    <hyperlink ref="F6" r:id="rId36" xr:uid="{1BD43213-C29C-4188-ABAC-8FE875F8CB43}"/>
    <hyperlink ref="E14" r:id="rId37" xr:uid="{2BE1A830-16FA-49E8-A7F4-16CA2BF188D8}"/>
    <hyperlink ref="F14" r:id="rId38" xr:uid="{AAC16FC7-2DBE-4D7E-A3D0-B68828AB0B4A}"/>
    <hyperlink ref="D14" r:id="rId39" xr:uid="{C7F706D8-70CB-4148-9266-2794D88F9A74}"/>
    <hyperlink ref="D11" r:id="rId40" xr:uid="{728C96E1-A673-4348-89E2-EDF2523A3333}"/>
    <hyperlink ref="E11" r:id="rId41" xr:uid="{B20AA403-9283-48E9-8EAC-5BFAAFC760FF}"/>
    <hyperlink ref="F11" r:id="rId42" xr:uid="{E59DC629-97F8-4254-B1AA-B50F092E5CAC}"/>
    <hyperlink ref="D19" r:id="rId43" xr:uid="{7FDA162E-161A-4FF6-9D47-8BFC4B988FEF}"/>
    <hyperlink ref="D3" r:id="rId44" xr:uid="{3CAB7380-114C-4FD3-81CB-C1D18571BAF0}"/>
    <hyperlink ref="E3" r:id="rId45" xr:uid="{6EADD37F-2C47-4453-B8D1-DDD6AA7CC05B}"/>
    <hyperlink ref="F3" r:id="rId46" xr:uid="{09F96D55-891A-45BF-B7C7-427B0EBB90EE}"/>
    <hyperlink ref="E19" r:id="rId47" xr:uid="{7AF5A408-93B4-4A33-8B42-A910FF64F6BD}"/>
    <hyperlink ref="F19" r:id="rId48" xr:uid="{12502D48-DFD6-4F17-B9CC-5BCE39A1EDE3}"/>
    <hyperlink ref="E9" r:id="rId49" xr:uid="{851D090F-0A24-4E39-80E9-F2BB55059D9C}"/>
    <hyperlink ref="F9" r:id="rId50" xr:uid="{7FEEB136-30FF-4DB9-8F78-1CD22BE0EB6A}"/>
    <hyperlink ref="E20" r:id="rId51" xr:uid="{CE8DF9BA-0973-40C3-A63E-2687FF8832AA}"/>
    <hyperlink ref="F20" r:id="rId52" xr:uid="{B1BE1A4E-1852-4EAD-893A-BDFA1DED2876}"/>
    <hyperlink ref="D20" r:id="rId53" xr:uid="{1564EA43-C6D1-47A5-ACA4-B42FB7D6759A}"/>
    <hyperlink ref="E15" r:id="rId54" xr:uid="{1BED873C-D3D0-4233-B880-6B62781401E5}"/>
    <hyperlink ref="F15" r:id="rId55" xr:uid="{1533CF94-6238-4252-B72E-03D52C6C15F8}"/>
  </hyperlinks>
  <pageMargins left="0.7" right="0.7" top="0.75" bottom="0.75" header="0.511811023622047" footer="0.511811023622047"/>
  <pageSetup orientation="portrait" horizontalDpi="300" verticalDpi="300" r:id="rId5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Impedance_Potential_BOM_values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Urs Utzinger</dc:creator>
  <dc:description/>
  <cp:lastModifiedBy>mohammed altekreeti</cp:lastModifiedBy>
  <cp:revision>7</cp:revision>
  <dcterms:created xsi:type="dcterms:W3CDTF">2024-02-22T16:14:14Z</dcterms:created>
  <dcterms:modified xsi:type="dcterms:W3CDTF">2026-01-05T04:03:44Z</dcterms:modified>
  <dc:language>en-US</dc:language>
</cp:coreProperties>
</file>